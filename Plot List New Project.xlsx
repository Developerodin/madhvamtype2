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Gaurav 385 &amp; 386\"/>
    </mc:Choice>
  </mc:AlternateContent>
  <xr:revisionPtr revIDLastSave="0" documentId="13_ncr:1_{A67BDC9E-B6C8-4F0D-9905-079B0D5E5EA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  <sheet name="Sheet2" sheetId="2" r:id="rId2"/>
  </sheets>
  <definedNames>
    <definedName name="_xlnm.Print_Area" localSheetId="0">Sheet1!$A$1:$D$104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3" i="1" l="1"/>
  <c r="E93" i="1"/>
  <c r="F93" i="1"/>
  <c r="D94" i="1"/>
  <c r="F94" i="1" s="1"/>
  <c r="E94" i="1"/>
  <c r="H47" i="1"/>
  <c r="E4" i="1"/>
  <c r="E5" i="1"/>
  <c r="F5" i="1" s="1"/>
  <c r="E6" i="1"/>
  <c r="E7" i="1"/>
  <c r="E8" i="1"/>
  <c r="F8" i="1" s="1"/>
  <c r="E9" i="1"/>
  <c r="E10" i="1"/>
  <c r="E11" i="1"/>
  <c r="F11" i="1" s="1"/>
  <c r="E12" i="1"/>
  <c r="E13" i="1"/>
  <c r="E14" i="1"/>
  <c r="E15" i="1"/>
  <c r="F15" i="1" s="1"/>
  <c r="E16" i="1"/>
  <c r="E17" i="1"/>
  <c r="E18" i="1"/>
  <c r="E19" i="1"/>
  <c r="F19" i="1" s="1"/>
  <c r="E20" i="1"/>
  <c r="E21" i="1"/>
  <c r="E22" i="1"/>
  <c r="E23" i="1"/>
  <c r="E24" i="1"/>
  <c r="E25" i="1"/>
  <c r="E26" i="1"/>
  <c r="E27" i="1"/>
  <c r="F27" i="1" s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F51" i="1" s="1"/>
  <c r="E52" i="1"/>
  <c r="E53" i="1"/>
  <c r="E54" i="1"/>
  <c r="E55" i="1"/>
  <c r="E56" i="1"/>
  <c r="E57" i="1"/>
  <c r="E58" i="1"/>
  <c r="E59" i="1"/>
  <c r="E60" i="1"/>
  <c r="E61" i="1"/>
  <c r="E62" i="1"/>
  <c r="E63" i="1"/>
  <c r="F63" i="1" s="1"/>
  <c r="E64" i="1"/>
  <c r="E65" i="1"/>
  <c r="E66" i="1"/>
  <c r="E67" i="1"/>
  <c r="E68" i="1"/>
  <c r="E69" i="1"/>
  <c r="E70" i="1"/>
  <c r="E71" i="1"/>
  <c r="E72" i="1"/>
  <c r="E73" i="1"/>
  <c r="E74" i="1"/>
  <c r="E75" i="1"/>
  <c r="F75" i="1" s="1"/>
  <c r="E76" i="1"/>
  <c r="E77" i="1"/>
  <c r="E78" i="1"/>
  <c r="E79" i="1"/>
  <c r="F79" i="1" s="1"/>
  <c r="E80" i="1"/>
  <c r="E81" i="1"/>
  <c r="E82" i="1"/>
  <c r="E83" i="1"/>
  <c r="F83" i="1" s="1"/>
  <c r="E84" i="1"/>
  <c r="E85" i="1"/>
  <c r="E86" i="1"/>
  <c r="E87" i="1"/>
  <c r="E88" i="1"/>
  <c r="E89" i="1"/>
  <c r="E90" i="1"/>
  <c r="E91" i="1"/>
  <c r="F91" i="1" s="1"/>
  <c r="E92" i="1"/>
  <c r="F7" i="1"/>
  <c r="E3" i="1"/>
  <c r="F3" i="1" s="1"/>
  <c r="C9" i="2"/>
  <c r="C95" i="1"/>
  <c r="C2" i="2" s="1"/>
  <c r="D92" i="1"/>
  <c r="F4" i="1"/>
  <c r="F9" i="1"/>
  <c r="F12" i="1"/>
  <c r="F13" i="1"/>
  <c r="F16" i="1"/>
  <c r="F17" i="1"/>
  <c r="F21" i="1"/>
  <c r="F24" i="1"/>
  <c r="F25" i="1"/>
  <c r="F28" i="1"/>
  <c r="F29" i="1"/>
  <c r="D30" i="1"/>
  <c r="D95" i="1" s="1"/>
  <c r="D31" i="1"/>
  <c r="D32" i="1"/>
  <c r="F32" i="1" s="1"/>
  <c r="D33" i="1"/>
  <c r="F33" i="1" s="1"/>
  <c r="D34" i="1"/>
  <c r="D35" i="1"/>
  <c r="D36" i="1"/>
  <c r="F36" i="1" s="1"/>
  <c r="D37" i="1"/>
  <c r="F37" i="1" s="1"/>
  <c r="D38" i="1"/>
  <c r="D40" i="1"/>
  <c r="D41" i="1"/>
  <c r="F41" i="1" s="1"/>
  <c r="D42" i="1"/>
  <c r="D43" i="1"/>
  <c r="D44" i="1"/>
  <c r="F44" i="1" s="1"/>
  <c r="D45" i="1"/>
  <c r="F45" i="1" s="1"/>
  <c r="D46" i="1"/>
  <c r="D47" i="1"/>
  <c r="D48" i="1"/>
  <c r="F48" i="1" s="1"/>
  <c r="G48" i="1" s="1"/>
  <c r="D49" i="1"/>
  <c r="F49" i="1" s="1"/>
  <c r="D52" i="1"/>
  <c r="F52" i="1" s="1"/>
  <c r="D53" i="1"/>
  <c r="F53" i="1" s="1"/>
  <c r="D54" i="1"/>
  <c r="D55" i="1"/>
  <c r="D56" i="1"/>
  <c r="F56" i="1" s="1"/>
  <c r="D57" i="1"/>
  <c r="F57" i="1" s="1"/>
  <c r="D58" i="1"/>
  <c r="D59" i="1"/>
  <c r="D60" i="1"/>
  <c r="F60" i="1" s="1"/>
  <c r="D61" i="1"/>
  <c r="F61" i="1" s="1"/>
  <c r="D64" i="1"/>
  <c r="F64" i="1" s="1"/>
  <c r="D65" i="1"/>
  <c r="F65" i="1" s="1"/>
  <c r="D66" i="1"/>
  <c r="D67" i="1"/>
  <c r="D68" i="1"/>
  <c r="F68" i="1" s="1"/>
  <c r="D69" i="1"/>
  <c r="F69" i="1" s="1"/>
  <c r="D70" i="1"/>
  <c r="D71" i="1"/>
  <c r="F71" i="1" s="1"/>
  <c r="D72" i="1"/>
  <c r="F72" i="1" s="1"/>
  <c r="F73" i="1"/>
  <c r="F76" i="1"/>
  <c r="F77" i="1"/>
  <c r="F80" i="1"/>
  <c r="F81" i="1"/>
  <c r="F85" i="1"/>
  <c r="F88" i="1"/>
  <c r="F89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F92" i="1" l="1"/>
  <c r="G49" i="1"/>
  <c r="G50" i="1" s="1"/>
  <c r="F59" i="1"/>
  <c r="F47" i="1"/>
  <c r="F43" i="1"/>
  <c r="F31" i="1"/>
  <c r="H48" i="1"/>
  <c r="F35" i="1"/>
  <c r="F90" i="1"/>
  <c r="F82" i="1"/>
  <c r="F70" i="1"/>
  <c r="F62" i="1"/>
  <c r="F58" i="1"/>
  <c r="F50" i="1"/>
  <c r="F38" i="1"/>
  <c r="F30" i="1"/>
  <c r="F26" i="1"/>
  <c r="F18" i="1"/>
  <c r="F14" i="1"/>
  <c r="F6" i="1"/>
  <c r="F55" i="1"/>
  <c r="F39" i="1"/>
  <c r="F22" i="1"/>
  <c r="F10" i="1"/>
  <c r="F78" i="1"/>
  <c r="F46" i="1"/>
  <c r="F67" i="1"/>
  <c r="F87" i="1"/>
  <c r="F40" i="1"/>
  <c r="F23" i="1"/>
  <c r="F86" i="1"/>
  <c r="F74" i="1"/>
  <c r="F66" i="1"/>
  <c r="F54" i="1"/>
  <c r="F42" i="1"/>
  <c r="F34" i="1"/>
  <c r="F84" i="1"/>
  <c r="F20" i="1"/>
  <c r="F95" i="1" l="1"/>
  <c r="F97" i="1" s="1"/>
  <c r="F98" i="1" s="1"/>
  <c r="F99" i="1" s="1"/>
</calcChain>
</file>

<file path=xl/sharedStrings.xml><?xml version="1.0" encoding="utf-8"?>
<sst xmlns="http://schemas.openxmlformats.org/spreadsheetml/2006/main" count="114" uniqueCount="43">
  <si>
    <t>Plot No</t>
  </si>
  <si>
    <t>Area Sqr Mtr</t>
  </si>
  <si>
    <t>Area Sqr Yard</t>
  </si>
  <si>
    <t>Total</t>
  </si>
  <si>
    <t>Commercial</t>
  </si>
  <si>
    <t>Kiosk</t>
  </si>
  <si>
    <t>Plot No 28 to 36</t>
  </si>
  <si>
    <t>Plot No 27</t>
  </si>
  <si>
    <t>Plot No 72 &amp; 73</t>
  </si>
  <si>
    <t>Plot No 61</t>
  </si>
  <si>
    <t>Plot No 62 to 65</t>
  </si>
  <si>
    <t>PLOTS BEING SENT FOR MORTGAGE</t>
  </si>
  <si>
    <t>Size (L x B)</t>
  </si>
  <si>
    <t>6.725 X 14.880</t>
  </si>
  <si>
    <t>7.700 X [(13.545+13.584)/2]7.700 X 13.564</t>
  </si>
  <si>
    <t>7.965 X [(13.505+13.545)/2]7.965 X 13.525</t>
  </si>
  <si>
    <t>7.700 X [(13.584+13.623)/2]7.700 X 13.603</t>
  </si>
  <si>
    <t>7.700 X [(13.623+13.662)/2]7.700 X 13.642</t>
  </si>
  <si>
    <t>7.700 X [(13.662+13.692)/2]7.700 X 13.677</t>
  </si>
  <si>
    <t>7.700 X [(13.692+13.730)/2]7.700 X 13.711</t>
  </si>
  <si>
    <t>7.700 X [(13.730+13.768)/2]7.700 X 13.749</t>
  </si>
  <si>
    <t>7.700 X [(13.768+13.806)/2]7.700 X 13.787</t>
  </si>
  <si>
    <t>7.700+7.774/2 X 13.806 + 13.842/27.737 X 13.824</t>
  </si>
  <si>
    <t>7.688 X 13.110</t>
  </si>
  <si>
    <t>6.410 X 13.110</t>
  </si>
  <si>
    <t>7.833 X 16.883</t>
  </si>
  <si>
    <t>7.100 X 16.883</t>
  </si>
  <si>
    <t>7.739 X 16.883</t>
  </si>
  <si>
    <t>8.793 X 16.726</t>
  </si>
  <si>
    <t>6.970 X 13.400</t>
  </si>
  <si>
    <t>6.270 X 13.400</t>
  </si>
  <si>
    <t>7.210 X 14.054</t>
  </si>
  <si>
    <t>6.135 X 14.054</t>
  </si>
  <si>
    <t>NEW PROJECT PLOT DETAILS</t>
  </si>
  <si>
    <t>12A</t>
  </si>
  <si>
    <t>As Per Calculation</t>
  </si>
  <si>
    <t>Rate</t>
  </si>
  <si>
    <t>Amount/Month</t>
  </si>
  <si>
    <t>As Per Calculation (3.50 Rs Per Sqr Ft &amp; 27 Rs Per Sqr Yard</t>
  </si>
  <si>
    <t>AMC</t>
  </si>
  <si>
    <t>IFMS</t>
  </si>
  <si>
    <t>ECC</t>
  </si>
  <si>
    <t>Club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</si>
</sst>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2" fontId="4" fillId="0" borderId="8" xfId="0" applyNumberFormat="1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2" fontId="4" fillId="0" borderId="4" xfId="0" applyNumberFormat="1" applyFont="1" applyBorder="1" applyAlignment="1">
      <alignment vertical="center"/>
    </xf>
    <xf numFmtId="0" fontId="0" fillId="0" borderId="4" xfId="0" applyBorder="1" applyAlignment="1">
      <alignment vertical="center"/>
    </xf>
    <xf numFmtId="164" fontId="1" fillId="0" borderId="6" xfId="1" applyNumberFormat="1" applyFont="1" applyBorder="1" applyAlignment="1">
      <alignment horizontal="center" vertical="center"/>
    </xf>
    <xf numFmtId="164" fontId="0" fillId="0" borderId="0" xfId="1" applyNumberFormat="1" applyFont="1" applyAlignment="1">
      <alignment vertical="center"/>
    </xf>
    <xf numFmtId="164" fontId="1" fillId="0" borderId="0" xfId="1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164" fontId="2" fillId="0" borderId="0" xfId="1" applyNumberFormat="1" applyFont="1" applyBorder="1" applyAlignment="1">
      <alignment horizontal="center" vertical="center"/>
    </xf>
    <xf numFmtId="164" fontId="0" fillId="0" borderId="1" xfId="1" applyNumberFormat="1" applyFont="1" applyBorder="1" applyAlignment="1">
      <alignment vertical="center"/>
    </xf>
    <xf numFmtId="164" fontId="1" fillId="0" borderId="1" xfId="1" applyNumberFormat="1" applyFont="1" applyBorder="1" applyAlignment="1">
      <alignment vertical="center"/>
    </xf>
    <xf numFmtId="164" fontId="0" fillId="0" borderId="4" xfId="1" applyNumberFormat="1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164" fontId="0" fillId="0" borderId="8" xfId="1" applyNumberFormat="1" applyFont="1" applyBorder="1" applyAlignment="1">
      <alignment vertical="center"/>
    </xf>
    <xf numFmtId="2" fontId="3" fillId="0" borderId="6" xfId="0" applyNumberFormat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6" xfId="1" applyNumberFormat="1" applyFont="1" applyBorder="1" applyAlignment="1">
      <alignment vertical="center"/>
    </xf>
    <xf numFmtId="0" fontId="1" fillId="0" borderId="6" xfId="0" applyFont="1" applyBorder="1" applyAlignment="1">
      <alignment horizontal="center" vertical="center" wrapText="1"/>
    </xf>
    <xf numFmtId="164" fontId="0" fillId="0" borderId="0" xfId="0" applyNumberFormat="1" applyAlignment="1">
      <alignment vertical="center"/>
    </xf>
    <xf numFmtId="0" fontId="3" fillId="0" borderId="2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164" fontId="1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4"/>
  <sheetViews>
    <sheetView tabSelected="1" zoomScale="80" workbookViewId="0">
      <selection activeCell="E1" sqref="E1:F1048576"/>
    </sheetView>
  </sheetViews>
  <sheetFormatPr defaultRowHeight="14.5" x14ac:dyDescent="0.35"/>
  <cols>
    <col min="1" max="1" width="15.1796875" style="1" bestFit="1" customWidth="1"/>
    <col min="2" max="2" width="47" style="1" bestFit="1" customWidth="1"/>
    <col min="3" max="3" width="12.7265625" style="2" bestFit="1" customWidth="1"/>
    <col min="4" max="4" width="13.36328125" style="2" bestFit="1" customWidth="1"/>
    <col min="5" max="5" width="20.08984375" style="2" customWidth="1"/>
    <col min="6" max="6" width="22.6328125" style="27" bestFit="1" customWidth="1"/>
    <col min="7" max="7" width="11.54296875" style="2" bestFit="1" customWidth="1"/>
    <col min="8" max="16384" width="8.7265625" style="2"/>
  </cols>
  <sheetData>
    <row r="1" spans="1:6" ht="21.5" thickBot="1" x14ac:dyDescent="0.4">
      <c r="A1" s="45" t="s">
        <v>33</v>
      </c>
      <c r="B1" s="45"/>
      <c r="C1" s="45"/>
      <c r="D1" s="45"/>
      <c r="E1" s="29" t="s">
        <v>36</v>
      </c>
      <c r="F1" s="30" t="s">
        <v>37</v>
      </c>
    </row>
    <row r="2" spans="1:6" s="4" customFormat="1" ht="51.5" customHeight="1" thickBot="1" x14ac:dyDescent="0.4">
      <c r="A2" s="5" t="s">
        <v>0</v>
      </c>
      <c r="B2" s="6" t="s">
        <v>12</v>
      </c>
      <c r="C2" s="6" t="s">
        <v>1</v>
      </c>
      <c r="D2" s="6" t="s">
        <v>2</v>
      </c>
      <c r="E2" s="39" t="s">
        <v>38</v>
      </c>
      <c r="F2" s="26" t="s">
        <v>35</v>
      </c>
    </row>
    <row r="3" spans="1:6" ht="15.5" x14ac:dyDescent="0.35">
      <c r="A3" s="7">
        <v>1</v>
      </c>
      <c r="B3" s="23" t="s">
        <v>13</v>
      </c>
      <c r="C3" s="8">
        <v>100.06</v>
      </c>
      <c r="D3" s="24">
        <v>119.65</v>
      </c>
      <c r="E3" s="25">
        <f>3.5*9</f>
        <v>31.5</v>
      </c>
      <c r="F3" s="33">
        <f t="shared" ref="F3:F34" si="0">D3*E3</f>
        <v>3768.9750000000004</v>
      </c>
    </row>
    <row r="4" spans="1:6" ht="15.5" x14ac:dyDescent="0.35">
      <c r="A4" s="9">
        <f>A3+1</f>
        <v>2</v>
      </c>
      <c r="B4" s="21" t="s">
        <v>13</v>
      </c>
      <c r="C4" s="10">
        <v>100.06</v>
      </c>
      <c r="D4" s="24">
        <v>119.65</v>
      </c>
      <c r="E4" s="25">
        <f t="shared" ref="E4:E67" si="1">3.5*9</f>
        <v>31.5</v>
      </c>
      <c r="F4" s="31">
        <f t="shared" si="0"/>
        <v>3768.9750000000004</v>
      </c>
    </row>
    <row r="5" spans="1:6" ht="15.5" x14ac:dyDescent="0.35">
      <c r="A5" s="9">
        <f t="shared" ref="A5:A68" si="2">A4+1</f>
        <v>3</v>
      </c>
      <c r="B5" s="21" t="s">
        <v>13</v>
      </c>
      <c r="C5" s="10">
        <v>100.06</v>
      </c>
      <c r="D5" s="24">
        <v>119.65</v>
      </c>
      <c r="E5" s="25">
        <f t="shared" si="1"/>
        <v>31.5</v>
      </c>
      <c r="F5" s="31">
        <f t="shared" si="0"/>
        <v>3768.9750000000004</v>
      </c>
    </row>
    <row r="6" spans="1:6" ht="15.5" x14ac:dyDescent="0.35">
      <c r="A6" s="9">
        <f t="shared" si="2"/>
        <v>4</v>
      </c>
      <c r="B6" s="21" t="s">
        <v>13</v>
      </c>
      <c r="C6" s="10">
        <v>100.06</v>
      </c>
      <c r="D6" s="24">
        <v>119.65</v>
      </c>
      <c r="E6" s="25">
        <f t="shared" si="1"/>
        <v>31.5</v>
      </c>
      <c r="F6" s="31">
        <f t="shared" si="0"/>
        <v>3768.9750000000004</v>
      </c>
    </row>
    <row r="7" spans="1:6" ht="15.5" x14ac:dyDescent="0.35">
      <c r="A7" s="9">
        <f t="shared" si="2"/>
        <v>5</v>
      </c>
      <c r="B7" s="21" t="s">
        <v>13</v>
      </c>
      <c r="C7" s="10">
        <v>100.06</v>
      </c>
      <c r="D7" s="24">
        <v>119.65</v>
      </c>
      <c r="E7" s="25">
        <f t="shared" si="1"/>
        <v>31.5</v>
      </c>
      <c r="F7" s="31">
        <f t="shared" si="0"/>
        <v>3768.9750000000004</v>
      </c>
    </row>
    <row r="8" spans="1:6" ht="15.5" x14ac:dyDescent="0.35">
      <c r="A8" s="9">
        <f t="shared" si="2"/>
        <v>6</v>
      </c>
      <c r="B8" s="21" t="s">
        <v>13</v>
      </c>
      <c r="C8" s="10">
        <v>100.06</v>
      </c>
      <c r="D8" s="24">
        <v>119.65</v>
      </c>
      <c r="E8" s="25">
        <f t="shared" si="1"/>
        <v>31.5</v>
      </c>
      <c r="F8" s="31">
        <f t="shared" si="0"/>
        <v>3768.9750000000004</v>
      </c>
    </row>
    <row r="9" spans="1:6" ht="15.5" x14ac:dyDescent="0.35">
      <c r="A9" s="9">
        <f t="shared" si="2"/>
        <v>7</v>
      </c>
      <c r="B9" s="21" t="s">
        <v>13</v>
      </c>
      <c r="C9" s="10">
        <v>100.06</v>
      </c>
      <c r="D9" s="24">
        <v>119.65</v>
      </c>
      <c r="E9" s="25">
        <f t="shared" si="1"/>
        <v>31.5</v>
      </c>
      <c r="F9" s="31">
        <f t="shared" si="0"/>
        <v>3768.9750000000004</v>
      </c>
    </row>
    <row r="10" spans="1:6" ht="15.5" x14ac:dyDescent="0.35">
      <c r="A10" s="9">
        <f t="shared" si="2"/>
        <v>8</v>
      </c>
      <c r="B10" s="21" t="s">
        <v>13</v>
      </c>
      <c r="C10" s="10">
        <v>100.06</v>
      </c>
      <c r="D10" s="24">
        <v>119.65</v>
      </c>
      <c r="E10" s="25">
        <f t="shared" si="1"/>
        <v>31.5</v>
      </c>
      <c r="F10" s="31">
        <f t="shared" si="0"/>
        <v>3768.9750000000004</v>
      </c>
    </row>
    <row r="11" spans="1:6" ht="15.5" x14ac:dyDescent="0.35">
      <c r="A11" s="9">
        <f t="shared" si="2"/>
        <v>9</v>
      </c>
      <c r="B11" s="21" t="s">
        <v>13</v>
      </c>
      <c r="C11" s="10">
        <v>100.06</v>
      </c>
      <c r="D11" s="24">
        <v>119.65</v>
      </c>
      <c r="E11" s="25">
        <f t="shared" si="1"/>
        <v>31.5</v>
      </c>
      <c r="F11" s="31">
        <f t="shared" si="0"/>
        <v>3768.9750000000004</v>
      </c>
    </row>
    <row r="12" spans="1:6" ht="15.5" x14ac:dyDescent="0.35">
      <c r="A12" s="9">
        <f t="shared" si="2"/>
        <v>10</v>
      </c>
      <c r="B12" s="21" t="s">
        <v>13</v>
      </c>
      <c r="C12" s="10">
        <v>100.06</v>
      </c>
      <c r="D12" s="24">
        <v>119.65</v>
      </c>
      <c r="E12" s="25">
        <f t="shared" si="1"/>
        <v>31.5</v>
      </c>
      <c r="F12" s="31">
        <f t="shared" si="0"/>
        <v>3768.9750000000004</v>
      </c>
    </row>
    <row r="13" spans="1:6" ht="15.5" x14ac:dyDescent="0.35">
      <c r="A13" s="9">
        <f t="shared" si="2"/>
        <v>11</v>
      </c>
      <c r="B13" s="21" t="s">
        <v>13</v>
      </c>
      <c r="C13" s="10">
        <v>100.06</v>
      </c>
      <c r="D13" s="24">
        <v>119.65</v>
      </c>
      <c r="E13" s="25">
        <f t="shared" si="1"/>
        <v>31.5</v>
      </c>
      <c r="F13" s="31">
        <f t="shared" si="0"/>
        <v>3768.9750000000004</v>
      </c>
    </row>
    <row r="14" spans="1:6" ht="15.5" x14ac:dyDescent="0.35">
      <c r="A14" s="9">
        <f t="shared" si="2"/>
        <v>12</v>
      </c>
      <c r="B14" s="21" t="s">
        <v>13</v>
      </c>
      <c r="C14" s="10">
        <v>100.06</v>
      </c>
      <c r="D14" s="24">
        <v>119.65</v>
      </c>
      <c r="E14" s="25">
        <f t="shared" si="1"/>
        <v>31.5</v>
      </c>
      <c r="F14" s="31">
        <f t="shared" si="0"/>
        <v>3768.9750000000004</v>
      </c>
    </row>
    <row r="15" spans="1:6" ht="15.5" x14ac:dyDescent="0.35">
      <c r="A15" s="9" t="s">
        <v>34</v>
      </c>
      <c r="B15" s="21" t="s">
        <v>13</v>
      </c>
      <c r="C15" s="10">
        <v>100.06</v>
      </c>
      <c r="D15" s="24">
        <v>119.65</v>
      </c>
      <c r="E15" s="25">
        <f t="shared" si="1"/>
        <v>31.5</v>
      </c>
      <c r="F15" s="31">
        <f t="shared" si="0"/>
        <v>3768.9750000000004</v>
      </c>
    </row>
    <row r="16" spans="1:6" ht="15.5" x14ac:dyDescent="0.35">
      <c r="A16" s="9">
        <v>14</v>
      </c>
      <c r="B16" s="21" t="s">
        <v>13</v>
      </c>
      <c r="C16" s="10">
        <v>100.06</v>
      </c>
      <c r="D16" s="24">
        <v>119.65</v>
      </c>
      <c r="E16" s="25">
        <f t="shared" si="1"/>
        <v>31.5</v>
      </c>
      <c r="F16" s="31">
        <f t="shared" si="0"/>
        <v>3768.9750000000004</v>
      </c>
    </row>
    <row r="17" spans="1:6" ht="15.5" x14ac:dyDescent="0.35">
      <c r="A17" s="9">
        <f t="shared" si="2"/>
        <v>15</v>
      </c>
      <c r="B17" s="21" t="s">
        <v>13</v>
      </c>
      <c r="C17" s="10">
        <v>100.06</v>
      </c>
      <c r="D17" s="24">
        <v>119.65</v>
      </c>
      <c r="E17" s="25">
        <f t="shared" si="1"/>
        <v>31.5</v>
      </c>
      <c r="F17" s="31">
        <f t="shared" si="0"/>
        <v>3768.9750000000004</v>
      </c>
    </row>
    <row r="18" spans="1:6" ht="15.5" x14ac:dyDescent="0.35">
      <c r="A18" s="9">
        <f t="shared" si="2"/>
        <v>16</v>
      </c>
      <c r="B18" s="21" t="s">
        <v>13</v>
      </c>
      <c r="C18" s="10">
        <v>100.06</v>
      </c>
      <c r="D18" s="24">
        <v>119.65</v>
      </c>
      <c r="E18" s="25">
        <f t="shared" si="1"/>
        <v>31.5</v>
      </c>
      <c r="F18" s="31">
        <f t="shared" si="0"/>
        <v>3768.9750000000004</v>
      </c>
    </row>
    <row r="19" spans="1:6" ht="15.5" x14ac:dyDescent="0.35">
      <c r="A19" s="9">
        <f t="shared" si="2"/>
        <v>17</v>
      </c>
      <c r="B19" s="21" t="s">
        <v>13</v>
      </c>
      <c r="C19" s="10">
        <v>100.06</v>
      </c>
      <c r="D19" s="24">
        <v>119.65</v>
      </c>
      <c r="E19" s="25">
        <f t="shared" si="1"/>
        <v>31.5</v>
      </c>
      <c r="F19" s="31">
        <f t="shared" si="0"/>
        <v>3768.9750000000004</v>
      </c>
    </row>
    <row r="20" spans="1:6" ht="15.5" x14ac:dyDescent="0.35">
      <c r="A20" s="9">
        <f t="shared" si="2"/>
        <v>18</v>
      </c>
      <c r="B20" s="21" t="s">
        <v>13</v>
      </c>
      <c r="C20" s="10">
        <v>100.06</v>
      </c>
      <c r="D20" s="24">
        <v>119.65</v>
      </c>
      <c r="E20" s="25">
        <f t="shared" si="1"/>
        <v>31.5</v>
      </c>
      <c r="F20" s="31">
        <f t="shared" si="0"/>
        <v>3768.9750000000004</v>
      </c>
    </row>
    <row r="21" spans="1:6" ht="15.5" x14ac:dyDescent="0.35">
      <c r="A21" s="9">
        <f t="shared" si="2"/>
        <v>19</v>
      </c>
      <c r="B21" s="21" t="s">
        <v>13</v>
      </c>
      <c r="C21" s="10">
        <v>100.06</v>
      </c>
      <c r="D21" s="24">
        <v>119.65</v>
      </c>
      <c r="E21" s="25">
        <f t="shared" si="1"/>
        <v>31.5</v>
      </c>
      <c r="F21" s="31">
        <f t="shared" si="0"/>
        <v>3768.9750000000004</v>
      </c>
    </row>
    <row r="22" spans="1:6" ht="15.5" x14ac:dyDescent="0.35">
      <c r="A22" s="9">
        <f t="shared" si="2"/>
        <v>20</v>
      </c>
      <c r="B22" s="21" t="s">
        <v>13</v>
      </c>
      <c r="C22" s="10">
        <v>100.06</v>
      </c>
      <c r="D22" s="24">
        <v>119.65</v>
      </c>
      <c r="E22" s="25">
        <f t="shared" si="1"/>
        <v>31.5</v>
      </c>
      <c r="F22" s="31">
        <f t="shared" si="0"/>
        <v>3768.9750000000004</v>
      </c>
    </row>
    <row r="23" spans="1:6" ht="15.5" x14ac:dyDescent="0.35">
      <c r="A23" s="9">
        <f t="shared" si="2"/>
        <v>21</v>
      </c>
      <c r="B23" s="21" t="s">
        <v>13</v>
      </c>
      <c r="C23" s="10">
        <v>100.06</v>
      </c>
      <c r="D23" s="24">
        <v>119.65</v>
      </c>
      <c r="E23" s="25">
        <f t="shared" si="1"/>
        <v>31.5</v>
      </c>
      <c r="F23" s="31">
        <f t="shared" si="0"/>
        <v>3768.9750000000004</v>
      </c>
    </row>
    <row r="24" spans="1:6" ht="15.5" x14ac:dyDescent="0.35">
      <c r="A24" s="9">
        <f t="shared" si="2"/>
        <v>22</v>
      </c>
      <c r="B24" s="21" t="s">
        <v>13</v>
      </c>
      <c r="C24" s="10">
        <v>100.06</v>
      </c>
      <c r="D24" s="24">
        <v>119.65</v>
      </c>
      <c r="E24" s="25">
        <f t="shared" si="1"/>
        <v>31.5</v>
      </c>
      <c r="F24" s="31">
        <f t="shared" si="0"/>
        <v>3768.9750000000004</v>
      </c>
    </row>
    <row r="25" spans="1:6" ht="15.5" x14ac:dyDescent="0.35">
      <c r="A25" s="9">
        <f t="shared" si="2"/>
        <v>23</v>
      </c>
      <c r="B25" s="21" t="s">
        <v>13</v>
      </c>
      <c r="C25" s="10">
        <v>100.06</v>
      </c>
      <c r="D25" s="24">
        <v>119.65</v>
      </c>
      <c r="E25" s="25">
        <f t="shared" si="1"/>
        <v>31.5</v>
      </c>
      <c r="F25" s="31">
        <f t="shared" si="0"/>
        <v>3768.9750000000004</v>
      </c>
    </row>
    <row r="26" spans="1:6" ht="15.5" x14ac:dyDescent="0.35">
      <c r="A26" s="9">
        <f t="shared" si="2"/>
        <v>24</v>
      </c>
      <c r="B26" s="21" t="s">
        <v>13</v>
      </c>
      <c r="C26" s="10">
        <v>100.06</v>
      </c>
      <c r="D26" s="24">
        <v>119.65</v>
      </c>
      <c r="E26" s="25">
        <f t="shared" si="1"/>
        <v>31.5</v>
      </c>
      <c r="F26" s="31">
        <f t="shared" si="0"/>
        <v>3768.9750000000004</v>
      </c>
    </row>
    <row r="27" spans="1:6" ht="15.5" x14ac:dyDescent="0.35">
      <c r="A27" s="9">
        <f t="shared" si="2"/>
        <v>25</v>
      </c>
      <c r="B27" s="21" t="s">
        <v>13</v>
      </c>
      <c r="C27" s="10">
        <v>100.06</v>
      </c>
      <c r="D27" s="24">
        <v>119.65</v>
      </c>
      <c r="E27" s="25">
        <f t="shared" si="1"/>
        <v>31.5</v>
      </c>
      <c r="F27" s="31">
        <f t="shared" si="0"/>
        <v>3768.9750000000004</v>
      </c>
    </row>
    <row r="28" spans="1:6" ht="15.5" x14ac:dyDescent="0.35">
      <c r="A28" s="9">
        <f t="shared" si="2"/>
        <v>26</v>
      </c>
      <c r="B28" s="21" t="s">
        <v>13</v>
      </c>
      <c r="C28" s="10">
        <v>100.06</v>
      </c>
      <c r="D28" s="24">
        <v>119.65</v>
      </c>
      <c r="E28" s="25">
        <f t="shared" si="1"/>
        <v>31.5</v>
      </c>
      <c r="F28" s="31">
        <f t="shared" si="0"/>
        <v>3768.9750000000004</v>
      </c>
    </row>
    <row r="29" spans="1:6" ht="15.5" x14ac:dyDescent="0.35">
      <c r="A29" s="9">
        <f t="shared" si="2"/>
        <v>27</v>
      </c>
      <c r="B29" s="21" t="s">
        <v>13</v>
      </c>
      <c r="C29" s="10">
        <v>100.06</v>
      </c>
      <c r="D29" s="24">
        <v>119.65</v>
      </c>
      <c r="E29" s="25">
        <f t="shared" si="1"/>
        <v>31.5</v>
      </c>
      <c r="F29" s="31">
        <f t="shared" si="0"/>
        <v>3768.9750000000004</v>
      </c>
    </row>
    <row r="30" spans="1:6" ht="15.5" x14ac:dyDescent="0.35">
      <c r="A30" s="9">
        <f t="shared" si="2"/>
        <v>28</v>
      </c>
      <c r="B30" s="21" t="s">
        <v>15</v>
      </c>
      <c r="C30" s="10">
        <v>107.72</v>
      </c>
      <c r="D30" s="22">
        <f t="shared" ref="D30:D67" si="3">C30*1.196</f>
        <v>128.83311999999998</v>
      </c>
      <c r="E30" s="25">
        <f t="shared" si="1"/>
        <v>31.5</v>
      </c>
      <c r="F30" s="31">
        <f t="shared" si="0"/>
        <v>4058.2432799999992</v>
      </c>
    </row>
    <row r="31" spans="1:6" ht="15.5" x14ac:dyDescent="0.35">
      <c r="A31" s="9">
        <f t="shared" si="2"/>
        <v>29</v>
      </c>
      <c r="B31" s="21" t="s">
        <v>14</v>
      </c>
      <c r="C31" s="10">
        <v>104.44</v>
      </c>
      <c r="D31" s="22">
        <f t="shared" si="3"/>
        <v>124.91023999999999</v>
      </c>
      <c r="E31" s="25">
        <f t="shared" si="1"/>
        <v>31.5</v>
      </c>
      <c r="F31" s="31">
        <f t="shared" si="0"/>
        <v>3934.6725599999995</v>
      </c>
    </row>
    <row r="32" spans="1:6" ht="15.5" x14ac:dyDescent="0.35">
      <c r="A32" s="9">
        <f t="shared" si="2"/>
        <v>30</v>
      </c>
      <c r="B32" s="21" t="s">
        <v>16</v>
      </c>
      <c r="C32" s="10">
        <v>104.74</v>
      </c>
      <c r="D32" s="22">
        <f t="shared" si="3"/>
        <v>125.26903999999999</v>
      </c>
      <c r="E32" s="25">
        <f t="shared" si="1"/>
        <v>31.5</v>
      </c>
      <c r="F32" s="31">
        <f t="shared" si="0"/>
        <v>3945.9747599999996</v>
      </c>
    </row>
    <row r="33" spans="1:10" ht="15.5" x14ac:dyDescent="0.35">
      <c r="A33" s="9">
        <f t="shared" si="2"/>
        <v>31</v>
      </c>
      <c r="B33" s="21" t="s">
        <v>17</v>
      </c>
      <c r="C33" s="10">
        <v>105.04</v>
      </c>
      <c r="D33" s="22">
        <f t="shared" si="3"/>
        <v>125.62784000000001</v>
      </c>
      <c r="E33" s="25">
        <f t="shared" si="1"/>
        <v>31.5</v>
      </c>
      <c r="F33" s="31">
        <f t="shared" si="0"/>
        <v>3957.2769600000001</v>
      </c>
    </row>
    <row r="34" spans="1:10" ht="15.5" x14ac:dyDescent="0.35">
      <c r="A34" s="9">
        <f t="shared" si="2"/>
        <v>32</v>
      </c>
      <c r="B34" s="21" t="s">
        <v>18</v>
      </c>
      <c r="C34" s="10">
        <v>105.31</v>
      </c>
      <c r="D34" s="22">
        <f t="shared" si="3"/>
        <v>125.95076</v>
      </c>
      <c r="E34" s="25">
        <f t="shared" si="1"/>
        <v>31.5</v>
      </c>
      <c r="F34" s="31">
        <f t="shared" si="0"/>
        <v>3967.4489400000002</v>
      </c>
    </row>
    <row r="35" spans="1:10" ht="15.5" x14ac:dyDescent="0.35">
      <c r="A35" s="9">
        <f t="shared" si="2"/>
        <v>33</v>
      </c>
      <c r="B35" s="21" t="s">
        <v>19</v>
      </c>
      <c r="C35" s="10">
        <v>105.57</v>
      </c>
      <c r="D35" s="22">
        <f t="shared" si="3"/>
        <v>126.26171999999998</v>
      </c>
      <c r="E35" s="25">
        <f t="shared" si="1"/>
        <v>31.5</v>
      </c>
      <c r="F35" s="31">
        <f t="shared" ref="F35:F66" si="4">D35*E35</f>
        <v>3977.2441799999992</v>
      </c>
    </row>
    <row r="36" spans="1:10" ht="15.5" x14ac:dyDescent="0.35">
      <c r="A36" s="9">
        <f t="shared" si="2"/>
        <v>34</v>
      </c>
      <c r="B36" s="21" t="s">
        <v>20</v>
      </c>
      <c r="C36" s="10">
        <v>105.86</v>
      </c>
      <c r="D36" s="22">
        <f t="shared" si="3"/>
        <v>126.60856</v>
      </c>
      <c r="E36" s="25">
        <f t="shared" si="1"/>
        <v>31.5</v>
      </c>
      <c r="F36" s="31">
        <f t="shared" si="4"/>
        <v>3988.1696400000001</v>
      </c>
    </row>
    <row r="37" spans="1:10" ht="15.5" x14ac:dyDescent="0.35">
      <c r="A37" s="9">
        <f t="shared" si="2"/>
        <v>35</v>
      </c>
      <c r="B37" s="21" t="s">
        <v>21</v>
      </c>
      <c r="C37" s="10">
        <v>106.15</v>
      </c>
      <c r="D37" s="22">
        <f t="shared" si="3"/>
        <v>126.9554</v>
      </c>
      <c r="E37" s="25">
        <f t="shared" si="1"/>
        <v>31.5</v>
      </c>
      <c r="F37" s="31">
        <f t="shared" si="4"/>
        <v>3999.0951</v>
      </c>
    </row>
    <row r="38" spans="1:10" ht="15.5" x14ac:dyDescent="0.35">
      <c r="A38" s="9">
        <f t="shared" si="2"/>
        <v>36</v>
      </c>
      <c r="B38" s="21" t="s">
        <v>22</v>
      </c>
      <c r="C38" s="10">
        <v>106.95</v>
      </c>
      <c r="D38" s="22">
        <f t="shared" si="3"/>
        <v>127.9122</v>
      </c>
      <c r="E38" s="25">
        <f t="shared" si="1"/>
        <v>31.5</v>
      </c>
      <c r="F38" s="31">
        <f t="shared" si="4"/>
        <v>4029.2343000000001</v>
      </c>
    </row>
    <row r="39" spans="1:10" ht="15.5" x14ac:dyDescent="0.35">
      <c r="A39" s="9">
        <f t="shared" si="2"/>
        <v>37</v>
      </c>
      <c r="B39" s="21" t="s">
        <v>23</v>
      </c>
      <c r="C39" s="10">
        <v>100.78</v>
      </c>
      <c r="D39" s="22">
        <v>120.5</v>
      </c>
      <c r="E39" s="25">
        <f t="shared" si="1"/>
        <v>31.5</v>
      </c>
      <c r="F39" s="31">
        <f t="shared" si="4"/>
        <v>3795.75</v>
      </c>
    </row>
    <row r="40" spans="1:10" ht="15.5" x14ac:dyDescent="0.35">
      <c r="A40" s="9">
        <f t="shared" si="2"/>
        <v>38</v>
      </c>
      <c r="B40" s="21" t="s">
        <v>24</v>
      </c>
      <c r="C40" s="10">
        <v>84.03</v>
      </c>
      <c r="D40" s="22">
        <f t="shared" si="3"/>
        <v>100.49987999999999</v>
      </c>
      <c r="E40" s="25">
        <f t="shared" si="1"/>
        <v>31.5</v>
      </c>
      <c r="F40" s="31">
        <f t="shared" si="4"/>
        <v>3165.7462199999995</v>
      </c>
    </row>
    <row r="41" spans="1:10" ht="15.5" x14ac:dyDescent="0.35">
      <c r="A41" s="9">
        <f t="shared" si="2"/>
        <v>39</v>
      </c>
      <c r="B41" s="21" t="s">
        <v>24</v>
      </c>
      <c r="C41" s="10">
        <v>84.03</v>
      </c>
      <c r="D41" s="22">
        <f t="shared" si="3"/>
        <v>100.49987999999999</v>
      </c>
      <c r="E41" s="25">
        <f t="shared" si="1"/>
        <v>31.5</v>
      </c>
      <c r="F41" s="31">
        <f t="shared" si="4"/>
        <v>3165.7462199999995</v>
      </c>
    </row>
    <row r="42" spans="1:10" ht="15.5" x14ac:dyDescent="0.35">
      <c r="A42" s="9">
        <f t="shared" si="2"/>
        <v>40</v>
      </c>
      <c r="B42" s="21" t="s">
        <v>24</v>
      </c>
      <c r="C42" s="10">
        <v>84.03</v>
      </c>
      <c r="D42" s="22">
        <f t="shared" si="3"/>
        <v>100.49987999999999</v>
      </c>
      <c r="E42" s="25">
        <f t="shared" si="1"/>
        <v>31.5</v>
      </c>
      <c r="F42" s="31">
        <f t="shared" si="4"/>
        <v>3165.7462199999995</v>
      </c>
    </row>
    <row r="43" spans="1:10" ht="15.5" x14ac:dyDescent="0.35">
      <c r="A43" s="9">
        <f t="shared" si="2"/>
        <v>41</v>
      </c>
      <c r="B43" s="21" t="s">
        <v>24</v>
      </c>
      <c r="C43" s="10">
        <v>84.03</v>
      </c>
      <c r="D43" s="22">
        <f t="shared" si="3"/>
        <v>100.49987999999999</v>
      </c>
      <c r="E43" s="25">
        <f t="shared" si="1"/>
        <v>31.5</v>
      </c>
      <c r="F43" s="31">
        <f t="shared" si="4"/>
        <v>3165.7462199999995</v>
      </c>
    </row>
    <row r="44" spans="1:10" ht="15.5" x14ac:dyDescent="0.35">
      <c r="A44" s="9">
        <f t="shared" si="2"/>
        <v>42</v>
      </c>
      <c r="B44" s="21" t="s">
        <v>24</v>
      </c>
      <c r="C44" s="10">
        <v>84.03</v>
      </c>
      <c r="D44" s="22">
        <f t="shared" si="3"/>
        <v>100.49987999999999</v>
      </c>
      <c r="E44" s="25">
        <f t="shared" si="1"/>
        <v>31.5</v>
      </c>
      <c r="F44" s="31">
        <f t="shared" si="4"/>
        <v>3165.7462199999995</v>
      </c>
    </row>
    <row r="45" spans="1:10" ht="15.5" x14ac:dyDescent="0.35">
      <c r="A45" s="9">
        <f t="shared" si="2"/>
        <v>43</v>
      </c>
      <c r="B45" s="21" t="s">
        <v>24</v>
      </c>
      <c r="C45" s="10">
        <v>84.03</v>
      </c>
      <c r="D45" s="22">
        <f t="shared" si="3"/>
        <v>100.49987999999999</v>
      </c>
      <c r="E45" s="25">
        <f t="shared" si="1"/>
        <v>31.5</v>
      </c>
      <c r="F45" s="31">
        <f t="shared" si="4"/>
        <v>3165.7462199999995</v>
      </c>
    </row>
    <row r="46" spans="1:10" ht="15.5" x14ac:dyDescent="0.35">
      <c r="A46" s="9">
        <f t="shared" si="2"/>
        <v>44</v>
      </c>
      <c r="B46" s="21" t="s">
        <v>24</v>
      </c>
      <c r="C46" s="10">
        <v>84.03</v>
      </c>
      <c r="D46" s="22">
        <f t="shared" si="3"/>
        <v>100.49987999999999</v>
      </c>
      <c r="E46" s="25">
        <f t="shared" si="1"/>
        <v>31.5</v>
      </c>
      <c r="F46" s="31">
        <f t="shared" si="4"/>
        <v>3165.7462199999995</v>
      </c>
      <c r="G46" s="2" t="s">
        <v>39</v>
      </c>
      <c r="H46" s="2" t="s">
        <v>40</v>
      </c>
      <c r="I46" s="2" t="s">
        <v>41</v>
      </c>
      <c r="J46" s="2" t="s">
        <v>42</v>
      </c>
    </row>
    <row r="47" spans="1:10" ht="15.5" x14ac:dyDescent="0.35">
      <c r="A47" s="9">
        <f t="shared" si="2"/>
        <v>45</v>
      </c>
      <c r="B47" s="21" t="s">
        <v>24</v>
      </c>
      <c r="C47" s="10">
        <v>84.03</v>
      </c>
      <c r="D47" s="22">
        <f t="shared" si="3"/>
        <v>100.49987999999999</v>
      </c>
      <c r="E47" s="25">
        <f t="shared" si="1"/>
        <v>31.5</v>
      </c>
      <c r="F47" s="31">
        <f t="shared" si="4"/>
        <v>3165.7462199999995</v>
      </c>
      <c r="H47" s="2">
        <f>45*9</f>
        <v>405</v>
      </c>
    </row>
    <row r="48" spans="1:10" s="3" customFormat="1" ht="15.5" x14ac:dyDescent="0.35">
      <c r="A48" s="41">
        <f t="shared" si="2"/>
        <v>46</v>
      </c>
      <c r="B48" s="19" t="s">
        <v>24</v>
      </c>
      <c r="C48" s="20">
        <v>84.03</v>
      </c>
      <c r="D48" s="42">
        <f t="shared" si="3"/>
        <v>100.49987999999999</v>
      </c>
      <c r="E48" s="43">
        <f t="shared" si="1"/>
        <v>31.5</v>
      </c>
      <c r="F48" s="32">
        <f t="shared" si="4"/>
        <v>3165.7462199999995</v>
      </c>
      <c r="G48" s="44">
        <f>F48*36</f>
        <v>113966.86391999999</v>
      </c>
      <c r="H48" s="3">
        <f>H47*D48</f>
        <v>40702.451399999998</v>
      </c>
      <c r="I48" s="3">
        <v>40000</v>
      </c>
      <c r="J48" s="3">
        <v>380000</v>
      </c>
    </row>
    <row r="49" spans="1:7" ht="15.5" x14ac:dyDescent="0.35">
      <c r="A49" s="9">
        <f t="shared" si="2"/>
        <v>47</v>
      </c>
      <c r="B49" s="21" t="s">
        <v>24</v>
      </c>
      <c r="C49" s="10">
        <v>84.03</v>
      </c>
      <c r="D49" s="22">
        <f t="shared" si="3"/>
        <v>100.49987999999999</v>
      </c>
      <c r="E49" s="25">
        <f t="shared" si="1"/>
        <v>31.5</v>
      </c>
      <c r="F49" s="31">
        <f t="shared" si="4"/>
        <v>3165.7462199999995</v>
      </c>
      <c r="G49" s="40">
        <f>G48*18%</f>
        <v>20514.035505599997</v>
      </c>
    </row>
    <row r="50" spans="1:7" ht="15.5" x14ac:dyDescent="0.35">
      <c r="A50" s="9">
        <f t="shared" si="2"/>
        <v>48</v>
      </c>
      <c r="B50" s="21" t="s">
        <v>23</v>
      </c>
      <c r="C50" s="10">
        <v>100.78</v>
      </c>
      <c r="D50" s="22">
        <v>120.5</v>
      </c>
      <c r="E50" s="25">
        <f t="shared" si="1"/>
        <v>31.5</v>
      </c>
      <c r="F50" s="31">
        <f t="shared" si="4"/>
        <v>3795.75</v>
      </c>
      <c r="G50" s="44">
        <f>G48+G49</f>
        <v>134480.89942559999</v>
      </c>
    </row>
    <row r="51" spans="1:7" ht="15.5" x14ac:dyDescent="0.35">
      <c r="A51" s="9">
        <f t="shared" si="2"/>
        <v>49</v>
      </c>
      <c r="B51" s="21" t="s">
        <v>23</v>
      </c>
      <c r="C51" s="10">
        <v>100.78</v>
      </c>
      <c r="D51" s="22">
        <v>120.5</v>
      </c>
      <c r="E51" s="25">
        <f t="shared" si="1"/>
        <v>31.5</v>
      </c>
      <c r="F51" s="31">
        <f t="shared" si="4"/>
        <v>3795.75</v>
      </c>
    </row>
    <row r="52" spans="1:7" ht="15.5" x14ac:dyDescent="0.35">
      <c r="A52" s="9">
        <f t="shared" si="2"/>
        <v>50</v>
      </c>
      <c r="B52" s="21" t="s">
        <v>24</v>
      </c>
      <c r="C52" s="10">
        <v>84.03</v>
      </c>
      <c r="D52" s="22">
        <f t="shared" si="3"/>
        <v>100.49987999999999</v>
      </c>
      <c r="E52" s="25">
        <f t="shared" si="1"/>
        <v>31.5</v>
      </c>
      <c r="F52" s="31">
        <f t="shared" si="4"/>
        <v>3165.7462199999995</v>
      </c>
    </row>
    <row r="53" spans="1:7" ht="15.5" x14ac:dyDescent="0.35">
      <c r="A53" s="9">
        <f t="shared" si="2"/>
        <v>51</v>
      </c>
      <c r="B53" s="21" t="s">
        <v>24</v>
      </c>
      <c r="C53" s="10">
        <v>84.03</v>
      </c>
      <c r="D53" s="22">
        <f t="shared" si="3"/>
        <v>100.49987999999999</v>
      </c>
      <c r="E53" s="25">
        <f t="shared" si="1"/>
        <v>31.5</v>
      </c>
      <c r="F53" s="31">
        <f t="shared" si="4"/>
        <v>3165.7462199999995</v>
      </c>
    </row>
    <row r="54" spans="1:7" ht="15.5" x14ac:dyDescent="0.35">
      <c r="A54" s="9">
        <f t="shared" si="2"/>
        <v>52</v>
      </c>
      <c r="B54" s="21" t="s">
        <v>24</v>
      </c>
      <c r="C54" s="10">
        <v>84.03</v>
      </c>
      <c r="D54" s="22">
        <f t="shared" si="3"/>
        <v>100.49987999999999</v>
      </c>
      <c r="E54" s="25">
        <f t="shared" si="1"/>
        <v>31.5</v>
      </c>
      <c r="F54" s="31">
        <f t="shared" si="4"/>
        <v>3165.7462199999995</v>
      </c>
    </row>
    <row r="55" spans="1:7" ht="15.5" x14ac:dyDescent="0.35">
      <c r="A55" s="9">
        <f t="shared" si="2"/>
        <v>53</v>
      </c>
      <c r="B55" s="21" t="s">
        <v>24</v>
      </c>
      <c r="C55" s="10">
        <v>84.03</v>
      </c>
      <c r="D55" s="22">
        <f t="shared" si="3"/>
        <v>100.49987999999999</v>
      </c>
      <c r="E55" s="25">
        <f t="shared" si="1"/>
        <v>31.5</v>
      </c>
      <c r="F55" s="31">
        <f t="shared" si="4"/>
        <v>3165.7462199999995</v>
      </c>
    </row>
    <row r="56" spans="1:7" ht="15.5" x14ac:dyDescent="0.35">
      <c r="A56" s="9">
        <f t="shared" si="2"/>
        <v>54</v>
      </c>
      <c r="B56" s="21" t="s">
        <v>24</v>
      </c>
      <c r="C56" s="10">
        <v>84.03</v>
      </c>
      <c r="D56" s="22">
        <f t="shared" si="3"/>
        <v>100.49987999999999</v>
      </c>
      <c r="E56" s="25">
        <f t="shared" si="1"/>
        <v>31.5</v>
      </c>
      <c r="F56" s="31">
        <f t="shared" si="4"/>
        <v>3165.7462199999995</v>
      </c>
    </row>
    <row r="57" spans="1:7" ht="15.5" x14ac:dyDescent="0.35">
      <c r="A57" s="9">
        <f t="shared" si="2"/>
        <v>55</v>
      </c>
      <c r="B57" s="21" t="s">
        <v>24</v>
      </c>
      <c r="C57" s="10">
        <v>84.03</v>
      </c>
      <c r="D57" s="22">
        <f t="shared" si="3"/>
        <v>100.49987999999999</v>
      </c>
      <c r="E57" s="25">
        <f t="shared" si="1"/>
        <v>31.5</v>
      </c>
      <c r="F57" s="31">
        <f t="shared" si="4"/>
        <v>3165.7462199999995</v>
      </c>
    </row>
    <row r="58" spans="1:7" ht="15.5" x14ac:dyDescent="0.35">
      <c r="A58" s="9">
        <f t="shared" si="2"/>
        <v>56</v>
      </c>
      <c r="B58" s="21" t="s">
        <v>24</v>
      </c>
      <c r="C58" s="10">
        <v>84.03</v>
      </c>
      <c r="D58" s="22">
        <f t="shared" si="3"/>
        <v>100.49987999999999</v>
      </c>
      <c r="E58" s="25">
        <f t="shared" si="1"/>
        <v>31.5</v>
      </c>
      <c r="F58" s="31">
        <f t="shared" si="4"/>
        <v>3165.7462199999995</v>
      </c>
    </row>
    <row r="59" spans="1:7" ht="15.5" x14ac:dyDescent="0.35">
      <c r="A59" s="9">
        <f t="shared" si="2"/>
        <v>57</v>
      </c>
      <c r="B59" s="21" t="s">
        <v>24</v>
      </c>
      <c r="C59" s="10">
        <v>84.03</v>
      </c>
      <c r="D59" s="22">
        <f t="shared" si="3"/>
        <v>100.49987999999999</v>
      </c>
      <c r="E59" s="25">
        <f t="shared" si="1"/>
        <v>31.5</v>
      </c>
      <c r="F59" s="31">
        <f t="shared" si="4"/>
        <v>3165.7462199999995</v>
      </c>
    </row>
    <row r="60" spans="1:7" ht="15.5" x14ac:dyDescent="0.35">
      <c r="A60" s="9">
        <f t="shared" si="2"/>
        <v>58</v>
      </c>
      <c r="B60" s="21" t="s">
        <v>24</v>
      </c>
      <c r="C60" s="10">
        <v>84.03</v>
      </c>
      <c r="D60" s="22">
        <f t="shared" si="3"/>
        <v>100.49987999999999</v>
      </c>
      <c r="E60" s="25">
        <f t="shared" si="1"/>
        <v>31.5</v>
      </c>
      <c r="F60" s="31">
        <f t="shared" si="4"/>
        <v>3165.7462199999995</v>
      </c>
    </row>
    <row r="61" spans="1:7" ht="15.5" x14ac:dyDescent="0.35">
      <c r="A61" s="9">
        <f t="shared" si="2"/>
        <v>59</v>
      </c>
      <c r="B61" s="21" t="s">
        <v>24</v>
      </c>
      <c r="C61" s="10">
        <v>84.03</v>
      </c>
      <c r="D61" s="22">
        <f t="shared" si="3"/>
        <v>100.49987999999999</v>
      </c>
      <c r="E61" s="25">
        <f t="shared" si="1"/>
        <v>31.5</v>
      </c>
      <c r="F61" s="31">
        <f t="shared" si="4"/>
        <v>3165.7462199999995</v>
      </c>
    </row>
    <row r="62" spans="1:7" ht="15.5" x14ac:dyDescent="0.35">
      <c r="A62" s="9">
        <f t="shared" si="2"/>
        <v>60</v>
      </c>
      <c r="B62" s="21" t="s">
        <v>23</v>
      </c>
      <c r="C62" s="10">
        <v>100.78</v>
      </c>
      <c r="D62" s="22">
        <v>120.5</v>
      </c>
      <c r="E62" s="25">
        <f t="shared" si="1"/>
        <v>31.5</v>
      </c>
      <c r="F62" s="31">
        <f t="shared" si="4"/>
        <v>3795.75</v>
      </c>
    </row>
    <row r="63" spans="1:7" ht="15.5" x14ac:dyDescent="0.35">
      <c r="A63" s="9">
        <f t="shared" si="2"/>
        <v>61</v>
      </c>
      <c r="B63" s="21" t="s">
        <v>25</v>
      </c>
      <c r="C63" s="10">
        <v>132.24</v>
      </c>
      <c r="D63" s="22">
        <v>158.15</v>
      </c>
      <c r="E63" s="25">
        <f t="shared" si="1"/>
        <v>31.5</v>
      </c>
      <c r="F63" s="31">
        <f t="shared" si="4"/>
        <v>4981.7250000000004</v>
      </c>
    </row>
    <row r="64" spans="1:7" ht="15.5" x14ac:dyDescent="0.35">
      <c r="A64" s="9">
        <f t="shared" si="2"/>
        <v>62</v>
      </c>
      <c r="B64" s="21" t="s">
        <v>26</v>
      </c>
      <c r="C64" s="10">
        <v>119.86</v>
      </c>
      <c r="D64" s="22">
        <f t="shared" si="3"/>
        <v>143.35255999999998</v>
      </c>
      <c r="E64" s="25">
        <f t="shared" si="1"/>
        <v>31.5</v>
      </c>
      <c r="F64" s="31">
        <f t="shared" si="4"/>
        <v>4515.6056399999998</v>
      </c>
    </row>
    <row r="65" spans="1:6" ht="15.5" x14ac:dyDescent="0.35">
      <c r="A65" s="9">
        <f t="shared" si="2"/>
        <v>63</v>
      </c>
      <c r="B65" s="21" t="s">
        <v>26</v>
      </c>
      <c r="C65" s="10">
        <v>119.86</v>
      </c>
      <c r="D65" s="22">
        <f t="shared" si="3"/>
        <v>143.35255999999998</v>
      </c>
      <c r="E65" s="25">
        <f t="shared" si="1"/>
        <v>31.5</v>
      </c>
      <c r="F65" s="31">
        <f t="shared" si="4"/>
        <v>4515.6056399999998</v>
      </c>
    </row>
    <row r="66" spans="1:6" ht="15.5" x14ac:dyDescent="0.35">
      <c r="A66" s="9">
        <f t="shared" si="2"/>
        <v>64</v>
      </c>
      <c r="B66" s="21" t="s">
        <v>26</v>
      </c>
      <c r="C66" s="10">
        <v>119.86</v>
      </c>
      <c r="D66" s="22">
        <f t="shared" si="3"/>
        <v>143.35255999999998</v>
      </c>
      <c r="E66" s="25">
        <f t="shared" si="1"/>
        <v>31.5</v>
      </c>
      <c r="F66" s="31">
        <f t="shared" si="4"/>
        <v>4515.6056399999998</v>
      </c>
    </row>
    <row r="67" spans="1:6" ht="15.5" x14ac:dyDescent="0.35">
      <c r="A67" s="9">
        <f t="shared" si="2"/>
        <v>65</v>
      </c>
      <c r="B67" s="21" t="s">
        <v>26</v>
      </c>
      <c r="C67" s="10">
        <v>119.86</v>
      </c>
      <c r="D67" s="22">
        <f t="shared" si="3"/>
        <v>143.35255999999998</v>
      </c>
      <c r="E67" s="25">
        <f t="shared" si="1"/>
        <v>31.5</v>
      </c>
      <c r="F67" s="31">
        <f t="shared" ref="F67:F94" si="5">D67*E67</f>
        <v>4515.6056399999998</v>
      </c>
    </row>
    <row r="68" spans="1:6" ht="15.5" x14ac:dyDescent="0.35">
      <c r="A68" s="9">
        <f t="shared" si="2"/>
        <v>66</v>
      </c>
      <c r="B68" s="21" t="s">
        <v>26</v>
      </c>
      <c r="C68" s="10">
        <v>119.86</v>
      </c>
      <c r="D68" s="22">
        <f t="shared" ref="D68:D93" si="6">C68*1.196</f>
        <v>143.35255999999998</v>
      </c>
      <c r="E68" s="25">
        <f t="shared" ref="E68:E94" si="7">3.5*9</f>
        <v>31.5</v>
      </c>
      <c r="F68" s="31">
        <f t="shared" si="5"/>
        <v>4515.6056399999998</v>
      </c>
    </row>
    <row r="69" spans="1:6" ht="15.5" x14ac:dyDescent="0.35">
      <c r="A69" s="9">
        <f t="shared" ref="A69:A91" si="8">A68+1</f>
        <v>67</v>
      </c>
      <c r="B69" s="21" t="s">
        <v>26</v>
      </c>
      <c r="C69" s="10">
        <v>119.86</v>
      </c>
      <c r="D69" s="22">
        <f t="shared" si="6"/>
        <v>143.35255999999998</v>
      </c>
      <c r="E69" s="25">
        <f t="shared" si="7"/>
        <v>31.5</v>
      </c>
      <c r="F69" s="31">
        <f t="shared" si="5"/>
        <v>4515.6056399999998</v>
      </c>
    </row>
    <row r="70" spans="1:6" ht="15.5" x14ac:dyDescent="0.35">
      <c r="A70" s="9">
        <f t="shared" si="8"/>
        <v>68</v>
      </c>
      <c r="B70" s="21" t="s">
        <v>26</v>
      </c>
      <c r="C70" s="10">
        <v>119.86</v>
      </c>
      <c r="D70" s="22">
        <f t="shared" si="6"/>
        <v>143.35255999999998</v>
      </c>
      <c r="E70" s="25">
        <f t="shared" si="7"/>
        <v>31.5</v>
      </c>
      <c r="F70" s="31">
        <f t="shared" si="5"/>
        <v>4515.6056399999998</v>
      </c>
    </row>
    <row r="71" spans="1:6" ht="15.5" x14ac:dyDescent="0.35">
      <c r="A71" s="9">
        <f t="shared" si="8"/>
        <v>69</v>
      </c>
      <c r="B71" s="21" t="s">
        <v>26</v>
      </c>
      <c r="C71" s="10">
        <v>119.86</v>
      </c>
      <c r="D71" s="22">
        <f t="shared" si="6"/>
        <v>143.35255999999998</v>
      </c>
      <c r="E71" s="25">
        <f t="shared" si="7"/>
        <v>31.5</v>
      </c>
      <c r="F71" s="31">
        <f t="shared" si="5"/>
        <v>4515.6056399999998</v>
      </c>
    </row>
    <row r="72" spans="1:6" ht="15.5" x14ac:dyDescent="0.35">
      <c r="A72" s="9">
        <f t="shared" si="8"/>
        <v>70</v>
      </c>
      <c r="B72" s="21" t="s">
        <v>26</v>
      </c>
      <c r="C72" s="10">
        <v>119.86</v>
      </c>
      <c r="D72" s="22">
        <f t="shared" si="6"/>
        <v>143.35255999999998</v>
      </c>
      <c r="E72" s="25">
        <f t="shared" si="7"/>
        <v>31.5</v>
      </c>
      <c r="F72" s="31">
        <f t="shared" si="5"/>
        <v>4515.6056399999998</v>
      </c>
    </row>
    <row r="73" spans="1:6" ht="15.5" x14ac:dyDescent="0.35">
      <c r="A73" s="9">
        <f t="shared" si="8"/>
        <v>71</v>
      </c>
      <c r="B73" s="21" t="s">
        <v>27</v>
      </c>
      <c r="C73" s="10">
        <v>130.65</v>
      </c>
      <c r="D73" s="22">
        <v>156.25</v>
      </c>
      <c r="E73" s="25">
        <f t="shared" si="7"/>
        <v>31.5</v>
      </c>
      <c r="F73" s="31">
        <f t="shared" si="5"/>
        <v>4921.875</v>
      </c>
    </row>
    <row r="74" spans="1:6" ht="15.5" x14ac:dyDescent="0.35">
      <c r="A74" s="9">
        <f t="shared" si="8"/>
        <v>72</v>
      </c>
      <c r="B74" s="21" t="s">
        <v>28</v>
      </c>
      <c r="C74" s="10">
        <v>147.07</v>
      </c>
      <c r="D74" s="22">
        <v>175.85</v>
      </c>
      <c r="E74" s="25">
        <f t="shared" si="7"/>
        <v>31.5</v>
      </c>
      <c r="F74" s="31">
        <f t="shared" si="5"/>
        <v>5539.2749999999996</v>
      </c>
    </row>
    <row r="75" spans="1:6" ht="15.5" x14ac:dyDescent="0.35">
      <c r="A75" s="9">
        <f t="shared" si="8"/>
        <v>73</v>
      </c>
      <c r="B75" s="21" t="s">
        <v>28</v>
      </c>
      <c r="C75" s="10">
        <v>147.07</v>
      </c>
      <c r="D75" s="22">
        <v>175.85</v>
      </c>
      <c r="E75" s="25">
        <f t="shared" si="7"/>
        <v>31.5</v>
      </c>
      <c r="F75" s="31">
        <f t="shared" si="5"/>
        <v>5539.2749999999996</v>
      </c>
    </row>
    <row r="76" spans="1:6" ht="15.5" x14ac:dyDescent="0.35">
      <c r="A76" s="9">
        <f t="shared" si="8"/>
        <v>74</v>
      </c>
      <c r="B76" s="21" t="s">
        <v>29</v>
      </c>
      <c r="C76" s="10">
        <v>93.39</v>
      </c>
      <c r="D76" s="22">
        <v>111.65</v>
      </c>
      <c r="E76" s="25">
        <f t="shared" si="7"/>
        <v>31.5</v>
      </c>
      <c r="F76" s="31">
        <f t="shared" si="5"/>
        <v>3516.9750000000004</v>
      </c>
    </row>
    <row r="77" spans="1:6" ht="15.5" x14ac:dyDescent="0.35">
      <c r="A77" s="9">
        <f t="shared" si="8"/>
        <v>75</v>
      </c>
      <c r="B77" s="21" t="s">
        <v>29</v>
      </c>
      <c r="C77" s="10">
        <v>93.39</v>
      </c>
      <c r="D77" s="22">
        <v>111.65</v>
      </c>
      <c r="E77" s="25">
        <f t="shared" si="7"/>
        <v>31.5</v>
      </c>
      <c r="F77" s="31">
        <f t="shared" si="5"/>
        <v>3516.9750000000004</v>
      </c>
    </row>
    <row r="78" spans="1:6" ht="15.5" x14ac:dyDescent="0.35">
      <c r="A78" s="9">
        <f t="shared" si="8"/>
        <v>76</v>
      </c>
      <c r="B78" s="21" t="s">
        <v>30</v>
      </c>
      <c r="C78" s="10">
        <v>84.01</v>
      </c>
      <c r="D78" s="22">
        <v>100.45</v>
      </c>
      <c r="E78" s="25">
        <f t="shared" si="7"/>
        <v>31.5</v>
      </c>
      <c r="F78" s="31">
        <f t="shared" si="5"/>
        <v>3164.1750000000002</v>
      </c>
    </row>
    <row r="79" spans="1:6" ht="15.5" x14ac:dyDescent="0.35">
      <c r="A79" s="9">
        <f t="shared" si="8"/>
        <v>77</v>
      </c>
      <c r="B79" s="21" t="s">
        <v>30</v>
      </c>
      <c r="C79" s="10">
        <v>84.01</v>
      </c>
      <c r="D79" s="22">
        <v>100.45</v>
      </c>
      <c r="E79" s="25">
        <f t="shared" si="7"/>
        <v>31.5</v>
      </c>
      <c r="F79" s="31">
        <f t="shared" si="5"/>
        <v>3164.1750000000002</v>
      </c>
    </row>
    <row r="80" spans="1:6" ht="15.5" x14ac:dyDescent="0.35">
      <c r="A80" s="9">
        <f t="shared" si="8"/>
        <v>78</v>
      </c>
      <c r="B80" s="21" t="s">
        <v>30</v>
      </c>
      <c r="C80" s="10">
        <v>84.01</v>
      </c>
      <c r="D80" s="22">
        <v>100.45</v>
      </c>
      <c r="E80" s="25">
        <f t="shared" si="7"/>
        <v>31.5</v>
      </c>
      <c r="F80" s="31">
        <f t="shared" si="5"/>
        <v>3164.1750000000002</v>
      </c>
    </row>
    <row r="81" spans="1:6" ht="15.5" x14ac:dyDescent="0.35">
      <c r="A81" s="9">
        <f t="shared" si="8"/>
        <v>79</v>
      </c>
      <c r="B81" s="21" t="s">
        <v>30</v>
      </c>
      <c r="C81" s="10">
        <v>84.01</v>
      </c>
      <c r="D81" s="22">
        <v>100.45</v>
      </c>
      <c r="E81" s="25">
        <f t="shared" si="7"/>
        <v>31.5</v>
      </c>
      <c r="F81" s="31">
        <f t="shared" si="5"/>
        <v>3164.1750000000002</v>
      </c>
    </row>
    <row r="82" spans="1:6" ht="15.5" x14ac:dyDescent="0.35">
      <c r="A82" s="9">
        <f t="shared" si="8"/>
        <v>80</v>
      </c>
      <c r="B82" s="21" t="s">
        <v>31</v>
      </c>
      <c r="C82" s="10">
        <v>101.32</v>
      </c>
      <c r="D82" s="22">
        <v>121.15</v>
      </c>
      <c r="E82" s="25">
        <f t="shared" si="7"/>
        <v>31.5</v>
      </c>
      <c r="F82" s="31">
        <f t="shared" si="5"/>
        <v>3816.2250000000004</v>
      </c>
    </row>
    <row r="83" spans="1:6" ht="15.5" x14ac:dyDescent="0.35">
      <c r="A83" s="9">
        <f t="shared" si="8"/>
        <v>81</v>
      </c>
      <c r="B83" s="21" t="s">
        <v>32</v>
      </c>
      <c r="C83" s="10">
        <v>86.22</v>
      </c>
      <c r="D83" s="22">
        <v>103.1</v>
      </c>
      <c r="E83" s="25">
        <f t="shared" si="7"/>
        <v>31.5</v>
      </c>
      <c r="F83" s="31">
        <f t="shared" si="5"/>
        <v>3247.6499999999996</v>
      </c>
    </row>
    <row r="84" spans="1:6" ht="15.5" x14ac:dyDescent="0.35">
      <c r="A84" s="9">
        <f t="shared" si="8"/>
        <v>82</v>
      </c>
      <c r="B84" s="21" t="s">
        <v>32</v>
      </c>
      <c r="C84" s="10">
        <v>86.22</v>
      </c>
      <c r="D84" s="22">
        <v>103.1</v>
      </c>
      <c r="E84" s="25">
        <f t="shared" si="7"/>
        <v>31.5</v>
      </c>
      <c r="F84" s="31">
        <f t="shared" si="5"/>
        <v>3247.6499999999996</v>
      </c>
    </row>
    <row r="85" spans="1:6" ht="15.5" x14ac:dyDescent="0.35">
      <c r="A85" s="9">
        <f t="shared" si="8"/>
        <v>83</v>
      </c>
      <c r="B85" s="21" t="s">
        <v>32</v>
      </c>
      <c r="C85" s="10">
        <v>86.22</v>
      </c>
      <c r="D85" s="22">
        <v>103.1</v>
      </c>
      <c r="E85" s="25">
        <f t="shared" si="7"/>
        <v>31.5</v>
      </c>
      <c r="F85" s="31">
        <f t="shared" si="5"/>
        <v>3247.6499999999996</v>
      </c>
    </row>
    <row r="86" spans="1:6" ht="15.5" x14ac:dyDescent="0.35">
      <c r="A86" s="9">
        <f t="shared" si="8"/>
        <v>84</v>
      </c>
      <c r="B86" s="21" t="s">
        <v>32</v>
      </c>
      <c r="C86" s="10">
        <v>86.22</v>
      </c>
      <c r="D86" s="22">
        <v>103.1</v>
      </c>
      <c r="E86" s="25">
        <f t="shared" si="7"/>
        <v>31.5</v>
      </c>
      <c r="F86" s="31">
        <f t="shared" si="5"/>
        <v>3247.6499999999996</v>
      </c>
    </row>
    <row r="87" spans="1:6" ht="15.5" x14ac:dyDescent="0.35">
      <c r="A87" s="9">
        <f t="shared" si="8"/>
        <v>85</v>
      </c>
      <c r="B87" s="21" t="s">
        <v>32</v>
      </c>
      <c r="C87" s="10">
        <v>86.22</v>
      </c>
      <c r="D87" s="22">
        <v>103.1</v>
      </c>
      <c r="E87" s="25">
        <f t="shared" si="7"/>
        <v>31.5</v>
      </c>
      <c r="F87" s="31">
        <f t="shared" si="5"/>
        <v>3247.6499999999996</v>
      </c>
    </row>
    <row r="88" spans="1:6" ht="15.5" x14ac:dyDescent="0.35">
      <c r="A88" s="9">
        <f t="shared" si="8"/>
        <v>86</v>
      </c>
      <c r="B88" s="21" t="s">
        <v>32</v>
      </c>
      <c r="C88" s="10">
        <v>86.22</v>
      </c>
      <c r="D88" s="22">
        <v>103.1</v>
      </c>
      <c r="E88" s="25">
        <f t="shared" si="7"/>
        <v>31.5</v>
      </c>
      <c r="F88" s="31">
        <f t="shared" si="5"/>
        <v>3247.6499999999996</v>
      </c>
    </row>
    <row r="89" spans="1:6" ht="15.5" x14ac:dyDescent="0.35">
      <c r="A89" s="9">
        <f t="shared" si="8"/>
        <v>87</v>
      </c>
      <c r="B89" s="21" t="s">
        <v>32</v>
      </c>
      <c r="C89" s="10">
        <v>86.22</v>
      </c>
      <c r="D89" s="22">
        <v>103.1</v>
      </c>
      <c r="E89" s="25">
        <f t="shared" si="7"/>
        <v>31.5</v>
      </c>
      <c r="F89" s="31">
        <f t="shared" si="5"/>
        <v>3247.6499999999996</v>
      </c>
    </row>
    <row r="90" spans="1:6" ht="15.5" x14ac:dyDescent="0.35">
      <c r="A90" s="9">
        <f t="shared" si="8"/>
        <v>88</v>
      </c>
      <c r="B90" s="21" t="s">
        <v>32</v>
      </c>
      <c r="C90" s="10">
        <v>86.22</v>
      </c>
      <c r="D90" s="22">
        <v>103.1</v>
      </c>
      <c r="E90" s="25">
        <f t="shared" si="7"/>
        <v>31.5</v>
      </c>
      <c r="F90" s="31">
        <f t="shared" si="5"/>
        <v>3247.6499999999996</v>
      </c>
    </row>
    <row r="91" spans="1:6" ht="15.5" x14ac:dyDescent="0.35">
      <c r="A91" s="9">
        <f t="shared" si="8"/>
        <v>89</v>
      </c>
      <c r="B91" s="21" t="s">
        <v>32</v>
      </c>
      <c r="C91" s="10">
        <v>86.22</v>
      </c>
      <c r="D91" s="22">
        <v>103.1</v>
      </c>
      <c r="E91" s="25">
        <f t="shared" si="7"/>
        <v>31.5</v>
      </c>
      <c r="F91" s="31">
        <f t="shared" si="5"/>
        <v>3247.6499999999996</v>
      </c>
    </row>
    <row r="92" spans="1:6" ht="16" thickBot="1" x14ac:dyDescent="0.4">
      <c r="A92" s="9" t="s">
        <v>4</v>
      </c>
      <c r="B92" s="21"/>
      <c r="C92" s="10">
        <v>924.65</v>
      </c>
      <c r="D92" s="22">
        <f t="shared" si="6"/>
        <v>1105.8814</v>
      </c>
      <c r="E92" s="25">
        <f t="shared" si="7"/>
        <v>31.5</v>
      </c>
      <c r="F92" s="31">
        <f t="shared" si="5"/>
        <v>34835.2641</v>
      </c>
    </row>
    <row r="93" spans="1:6" ht="15.5" x14ac:dyDescent="0.35">
      <c r="A93" s="9" t="s">
        <v>5</v>
      </c>
      <c r="B93" s="21"/>
      <c r="C93" s="22">
        <v>15</v>
      </c>
      <c r="D93" s="22">
        <f t="shared" si="6"/>
        <v>17.939999999999998</v>
      </c>
      <c r="E93" s="25">
        <f t="shared" si="7"/>
        <v>31.5</v>
      </c>
      <c r="F93" s="31">
        <f t="shared" si="5"/>
        <v>565.1099999999999</v>
      </c>
    </row>
    <row r="94" spans="1:6" ht="16" thickBot="1" x14ac:dyDescent="0.4">
      <c r="A94" s="11" t="s">
        <v>5</v>
      </c>
      <c r="B94" s="34"/>
      <c r="C94" s="12">
        <v>15</v>
      </c>
      <c r="D94" s="12">
        <f t="shared" ref="D94" si="9">C94*1.196</f>
        <v>17.939999999999998</v>
      </c>
      <c r="E94" s="25">
        <f t="shared" si="7"/>
        <v>31.5</v>
      </c>
      <c r="F94" s="35">
        <f t="shared" si="5"/>
        <v>565.1099999999999</v>
      </c>
    </row>
    <row r="95" spans="1:6" s="3" customFormat="1" ht="16" thickBot="1" x14ac:dyDescent="0.4">
      <c r="A95" s="5" t="s">
        <v>3</v>
      </c>
      <c r="B95" s="6"/>
      <c r="C95" s="13">
        <f>SUM(C3:C94)</f>
        <v>9727.6599999999889</v>
      </c>
      <c r="D95" s="36">
        <f>SUM(D3:D94)</f>
        <v>11633.060920000016</v>
      </c>
      <c r="E95" s="37"/>
      <c r="F95" s="38">
        <f>SUM(F3:F94)</f>
        <v>366441.41898000019</v>
      </c>
    </row>
    <row r="96" spans="1:6" ht="15.5" x14ac:dyDescent="0.35">
      <c r="A96" s="14"/>
      <c r="B96" s="14"/>
      <c r="C96" s="15"/>
      <c r="D96" s="15"/>
    </row>
    <row r="97" spans="1:6" s="3" customFormat="1" ht="21" customHeight="1" x14ac:dyDescent="0.35">
      <c r="D97" s="17"/>
      <c r="F97" s="32">
        <f>F95*24</f>
        <v>8794594.0555200055</v>
      </c>
    </row>
    <row r="98" spans="1:6" x14ac:dyDescent="0.35">
      <c r="F98" s="31">
        <f>F97*18%</f>
        <v>1583026.9299936011</v>
      </c>
    </row>
    <row r="99" spans="1:6" s="3" customFormat="1" x14ac:dyDescent="0.35">
      <c r="A99" s="4"/>
      <c r="B99" s="4"/>
      <c r="F99" s="32">
        <f>F97+F98</f>
        <v>10377620.985513607</v>
      </c>
    </row>
    <row r="104" spans="1:6" s="3" customFormat="1" x14ac:dyDescent="0.35">
      <c r="F104" s="28"/>
    </row>
  </sheetData>
  <mergeCells count="1">
    <mergeCell ref="A1:D1"/>
  </mergeCells>
  <pageMargins left="0.7" right="0.7" top="0.24" bottom="0.21" header="0.18" footer="0.14000000000000001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2BAA2-8494-4449-9E5B-2620FEBE8DD2}">
  <dimension ref="A2:C9"/>
  <sheetViews>
    <sheetView workbookViewId="0">
      <selection activeCell="B4" sqref="B4"/>
    </sheetView>
  </sheetViews>
  <sheetFormatPr defaultRowHeight="14.5" x14ac:dyDescent="0.35"/>
  <cols>
    <col min="1" max="1" width="21" customWidth="1"/>
    <col min="2" max="2" width="13.1796875" customWidth="1"/>
    <col min="3" max="3" width="17.54296875" customWidth="1"/>
  </cols>
  <sheetData>
    <row r="2" spans="1:3" ht="15.5" x14ac:dyDescent="0.35">
      <c r="A2" s="16">
        <v>0.2</v>
      </c>
      <c r="B2" s="16"/>
      <c r="C2" s="17">
        <f>Sheet1!C95*A2</f>
        <v>1945.5319999999979</v>
      </c>
    </row>
    <row r="3" spans="1:3" ht="21" x14ac:dyDescent="0.35">
      <c r="A3" s="46" t="s">
        <v>11</v>
      </c>
      <c r="B3" s="46"/>
      <c r="C3" s="46"/>
    </row>
    <row r="4" spans="1:3" ht="15.5" x14ac:dyDescent="0.35">
      <c r="A4" s="18" t="s">
        <v>6</v>
      </c>
      <c r="B4" s="18"/>
      <c r="C4" s="10">
        <v>951.78</v>
      </c>
    </row>
    <row r="5" spans="1:3" ht="15.5" x14ac:dyDescent="0.35">
      <c r="A5" s="18" t="s">
        <v>7</v>
      </c>
      <c r="B5" s="18"/>
      <c r="C5" s="10">
        <v>100.06</v>
      </c>
    </row>
    <row r="6" spans="1:3" ht="15.5" x14ac:dyDescent="0.35">
      <c r="A6" s="18" t="s">
        <v>8</v>
      </c>
      <c r="B6" s="18"/>
      <c r="C6" s="10">
        <v>294.14</v>
      </c>
    </row>
    <row r="7" spans="1:3" ht="15.5" x14ac:dyDescent="0.35">
      <c r="A7" s="18" t="s">
        <v>9</v>
      </c>
      <c r="B7" s="18"/>
      <c r="C7" s="10">
        <v>132.24</v>
      </c>
    </row>
    <row r="8" spans="1:3" ht="15.5" x14ac:dyDescent="0.35">
      <c r="A8" s="18" t="s">
        <v>10</v>
      </c>
      <c r="B8" s="18"/>
      <c r="C8" s="10">
        <v>479.44</v>
      </c>
    </row>
    <row r="9" spans="1:3" ht="15.5" x14ac:dyDescent="0.35">
      <c r="A9" s="19" t="s">
        <v>3</v>
      </c>
      <c r="B9" s="19"/>
      <c r="C9" s="20">
        <f>SUM(C4:C8)</f>
        <v>1957.66</v>
      </c>
    </row>
  </sheetData>
  <mergeCells count="1"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Satvik Singhal</cp:lastModifiedBy>
  <cp:lastPrinted>2026-05-16T10:35:21Z</cp:lastPrinted>
  <dcterms:created xsi:type="dcterms:W3CDTF">2015-06-05T18:17:20Z</dcterms:created>
  <dcterms:modified xsi:type="dcterms:W3CDTF">2026-10-13T07:43:41Z</dcterms:modified>
</cp:coreProperties>
</file>